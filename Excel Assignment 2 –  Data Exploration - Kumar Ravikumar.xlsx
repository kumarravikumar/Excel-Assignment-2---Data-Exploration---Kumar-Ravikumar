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LCOT\Downloads\AI Driven Data Analytics\"/>
    </mc:Choice>
  </mc:AlternateContent>
  <xr:revisionPtr revIDLastSave="0" documentId="8_{35644293-DE4F-4639-86A7-6602ABF9F484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Raw Dataset" sheetId="2" r:id="rId1"/>
    <sheet name="Dataset" sheetId="1" r:id="rId2"/>
  </sheets>
  <definedNames>
    <definedName name="_xlnm._FilterDatabase" localSheetId="1" hidden="1">Dataset!$A$1:$Q$33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H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2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2" i="1"/>
</calcChain>
</file>

<file path=xl/sharedStrings.xml><?xml version="1.0" encoding="utf-8"?>
<sst xmlns="http://schemas.openxmlformats.org/spreadsheetml/2006/main" count="342" uniqueCount="126">
  <si>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</si>
  <si>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</si>
  <si>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</si>
  <si>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</si>
  <si>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</si>
  <si>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</si>
  <si>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</si>
  <si>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</si>
  <si>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</si>
  <si>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</si>
  <si>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</si>
  <si>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</si>
  <si>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</si>
  <si>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</si>
  <si>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</si>
  <si>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</si>
  <si>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</si>
  <si>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</si>
  <si>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</si>
  <si>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</si>
  <si>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</si>
  <si>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</si>
  <si>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</si>
  <si>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</si>
  <si>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</si>
  <si>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</si>
  <si>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</si>
  <si>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</si>
  <si>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</si>
  <si>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</si>
  <si>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</si>
  <si>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</si>
  <si>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</si>
  <si>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</si>
  <si>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</si>
  <si>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</si>
  <si>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</si>
  <si>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</si>
  <si>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</si>
  <si>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</si>
  <si>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</si>
  <si>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</si>
  <si>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</si>
  <si>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</si>
  <si>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</si>
  <si>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</si>
  <si>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</si>
  <si>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</si>
  <si>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</si>
  <si>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</si>
  <si>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</si>
  <si>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</si>
  <si>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</si>
  <si>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</si>
  <si>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</si>
  <si>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</si>
  <si>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</si>
  <si>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</si>
  <si>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</si>
  <si>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</si>
  <si>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</si>
  <si>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</si>
  <si>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</si>
  <si>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</si>
  <si>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</si>
  <si>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</si>
  <si>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</si>
  <si>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</si>
  <si>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</si>
  <si>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</si>
  <si>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</si>
  <si>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</si>
  <si>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</si>
  <si>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</si>
  <si>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</si>
  <si>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</si>
  <si>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</si>
  <si>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</si>
  <si>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</si>
  <si>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</si>
  <si>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</si>
  <si>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</si>
  <si>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</si>
  <si>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</si>
  <si>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</si>
  <si>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</si>
  <si>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</si>
  <si>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</si>
  <si>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</si>
  <si>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</si>
  <si>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</si>
  <si>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</si>
  <si>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</si>
  <si>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Task</t>
  </si>
  <si>
    <t>Handling Missing Values:</t>
  </si>
  <si>
    <t>Comments</t>
  </si>
  <si>
    <t>There is no missing value in Price column</t>
  </si>
  <si>
    <t>Ctrl + G -&gt; Clicked bottom Special option -&gt;Select Blanks -&gt; Ok</t>
  </si>
  <si>
    <t>Used Formula</t>
  </si>
  <si>
    <t>Correcting Inconsistent Data:</t>
  </si>
  <si>
    <t>Product Name (Proper fomula used)</t>
  </si>
  <si>
    <t>There is no inconsistent details in Product Name</t>
  </si>
  <si>
    <t>Used "G" column for "PROPER" Formula</t>
  </si>
  <si>
    <t>There is no typos present in Category column and also there is no misspellings in the "Product Name" and "Category"</t>
  </si>
  <si>
    <t>If it typo error presented I will used Find and Replaced option (Ctrl +F -&gt; Incorrect value search and Replaced with Correct values)</t>
  </si>
  <si>
    <t>Removing Duplicates:</t>
  </si>
  <si>
    <t>2 Duplicates find that's has been removed</t>
  </si>
  <si>
    <t>Selected entire dataset -&gt; Data -&gt; Remove Duplicates -&gt; Entire Row -&gt;Ok</t>
  </si>
  <si>
    <t>Manufacturing Date</t>
  </si>
  <si>
    <t>Country Code</t>
  </si>
  <si>
    <t>Splitting and Merging Data:</t>
  </si>
  <si>
    <t>For Manufacturing Date used formula =LEFT(A2,6) and for Country Code used Formula =RIGHT(A2,2) and drag the formula entire coulumn</t>
  </si>
  <si>
    <t>Used Product ID Column and Created two sperated Columns "H" (Manufacturing Date) and "I" (Country Code) and formula applied there is no unnecessary column</t>
  </si>
  <si>
    <t>Product Brand</t>
  </si>
  <si>
    <t>Merged the Brand name and Product name in "J" Column</t>
  </si>
  <si>
    <t>Used "J" column for "=C2 &amp; " " &amp; B2" Formula</t>
  </si>
  <si>
    <t>Number Formatting</t>
  </si>
  <si>
    <t>Price</t>
  </si>
  <si>
    <t>Used "K" column for goto Home -&gt; selected currency type</t>
  </si>
  <si>
    <t>Conditional Formatting:</t>
  </si>
  <si>
    <t>Used - Home -&gt; Conditional Formatting -&gt; Data Bars -&gt; Choose any style</t>
  </si>
  <si>
    <t>Applied Data bar and color scales in "K" Column</t>
  </si>
  <si>
    <t xml:space="preserve">Created custom rule for Category column "L" </t>
  </si>
  <si>
    <t>Click "L" column goto Home -&gt; Conditional Formatting - Highlight Cells Rules - Text "Electronic" and then selct color hit ok</t>
  </si>
  <si>
    <t>SL No</t>
  </si>
  <si>
    <t>"K" Column created for Price and applied currency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</si>
</sst>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[$$-409]#,##0.00"/>
    <numFmt numFmtId="171" formatCode="[$-F800]dddd\,\ mmmm\ dd\,\ yyyy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169" fontId="1" fillId="0" borderId="0" xfId="0" applyNumberFormat="1" applyFont="1" applyAlignment="1">
      <alignment horizontal="center"/>
    </xf>
    <xf numFmtId="169" fontId="2" fillId="0" borderId="0" xfId="0" applyNumberFormat="1" applyFont="1"/>
    <xf numFmtId="169" fontId="0" fillId="0" borderId="0" xfId="0" applyNumberFormat="1"/>
    <xf numFmtId="14" fontId="0" fillId="0" borderId="0" xfId="0" applyNumberFormat="1"/>
    <xf numFmtId="14" fontId="2" fillId="0" borderId="0" xfId="0" applyNumberFormat="1" applyFont="1"/>
    <xf numFmtId="0" fontId="3" fillId="0" borderId="0" xfId="0" applyFont="1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0" borderId="1" xfId="0" applyFont="1" applyBorder="1"/>
    <xf numFmtId="0" fontId="1" fillId="0" borderId="2" xfId="0" applyFont="1" applyBorder="1" applyAlignment="1">
      <alignment horizontal="center"/>
    </xf>
    <xf numFmtId="14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69" fontId="4" fillId="0" borderId="3" xfId="0" applyNumberFormat="1" applyFont="1" applyBorder="1" applyAlignment="1">
      <alignment horizontal="center"/>
    </xf>
    <xf numFmtId="169" fontId="1" fillId="0" borderId="4" xfId="0" applyNumberFormat="1" applyFont="1" applyBorder="1" applyAlignment="1">
      <alignment horizontal="center"/>
    </xf>
    <xf numFmtId="0" fontId="2" fillId="0" borderId="5" xfId="0" applyFont="1" applyBorder="1"/>
    <xf numFmtId="171" fontId="0" fillId="0" borderId="1" xfId="0" applyNumberFormat="1" applyBorder="1"/>
    <xf numFmtId="169" fontId="2" fillId="0" borderId="1" xfId="0" applyNumberFormat="1" applyFont="1" applyBorder="1"/>
    <xf numFmtId="0" fontId="3" fillId="0" borderId="6" xfId="0" applyFont="1" applyBorder="1"/>
    <xf numFmtId="14" fontId="0" fillId="0" borderId="1" xfId="0" applyNumberFormat="1" applyBorder="1"/>
    <xf numFmtId="169" fontId="2" fillId="0" borderId="6" xfId="0" applyNumberFormat="1" applyFont="1" applyBorder="1"/>
    <xf numFmtId="0" fontId="2" fillId="0" borderId="7" xfId="0" applyFont="1" applyBorder="1"/>
    <xf numFmtId="14" fontId="0" fillId="0" borderId="8" xfId="0" applyNumberFormat="1" applyBorder="1"/>
    <xf numFmtId="0" fontId="0" fillId="0" borderId="8" xfId="0" applyBorder="1"/>
    <xf numFmtId="169" fontId="2" fillId="0" borderId="8" xfId="0" applyNumberFormat="1" applyFont="1" applyBorder="1"/>
    <xf numFmtId="169" fontId="2" fillId="0" borderId="9" xfId="0" applyNumberFormat="1" applyFont="1" applyBorder="1"/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9" formatCode="[$$-409]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9" formatCode="[$$-409]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E86F85D-12D9-40E4-AD03-10EB902C2099}" name="Table4" displayName="Table4" ref="G1:L33" totalsRowShown="0" headerRowDxfId="1" headerRowBorderDxfId="9" tableBorderDxfId="10" totalsRowBorderDxfId="8">
  <tableColumns count="6">
    <tableColumn id="1" xr3:uid="{6D31018C-6C9D-45B1-B63F-87EF547AFB95}" name="Product Name (Proper fomula used)" dataDxfId="7">
      <calculatedColumnFormula>PROPER(B2)</calculatedColumnFormula>
    </tableColumn>
    <tableColumn id="2" xr3:uid="{6F22826B-16B9-4F9C-A713-9DDE63D0F74A}" name="Manufacturing Date" dataDxfId="6">
      <calculatedColumnFormula>LEFT(A2,6)</calculatedColumnFormula>
    </tableColumn>
    <tableColumn id="3" xr3:uid="{4ADA7555-E5FF-48A1-B3E1-CE7BC49220B8}" name="Country Code" dataDxfId="5">
      <calculatedColumnFormula>RIGHT(A2,2)</calculatedColumnFormula>
    </tableColumn>
    <tableColumn id="4" xr3:uid="{0DC902B5-29A6-4257-A1AC-B80E39A1C701}" name="Product Brand" dataDxfId="4">
      <calculatedColumnFormula>C2 &amp; " " &amp; B2</calculatedColumnFormula>
    </tableColumn>
    <tableColumn id="5" xr3:uid="{3D94BB30-AC2E-4049-B9C2-9DAD696134A4}" name="Price" dataDxfId="3"/>
    <tableColumn id="6" xr3:uid="{D52D3A05-5206-4B94-8FA6-27AF2878F581}" name="Category" dataDxfId="2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251A4-4B17-41A0-95E9-C1B2CE0FCF50}">
  <dimension ref="A1:F35"/>
  <sheetViews>
    <sheetView topLeftCell="A12" workbookViewId="0">
      <selection activeCell="D36" sqref="D36"/>
    </sheetView>
  </sheetViews>
  <sheetFormatPr defaultRowHeight="12.75" x14ac:dyDescent="0.2"/>
  <cols>
    <col min="1" max="1" width="10.85546875" bestFit="1" customWidth="1"/>
    <col min="2" max="2" width="14" bestFit="1" customWidth="1"/>
    <col min="3" max="3" width="12.28515625" bestFit="1" customWidth="1"/>
    <col min="4" max="4" width="8.42578125" bestFit="1" customWidth="1"/>
    <col min="5" max="5" width="8.5703125" bestFit="1" customWidth="1"/>
    <col min="6" max="6" width="11.28515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</row>
    <row r="3" spans="1:6" x14ac:dyDescent="0.2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</row>
    <row r="4" spans="1:6" x14ac:dyDescent="0.2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</row>
    <row r="5" spans="1:6" x14ac:dyDescent="0.2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</row>
    <row r="6" spans="1:6" x14ac:dyDescent="0.2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 t="s">
        <v>24</v>
      </c>
    </row>
    <row r="7" spans="1:6" x14ac:dyDescent="0.2">
      <c r="A7" s="3" t="s">
        <v>25</v>
      </c>
      <c r="B7" s="3" t="s">
        <v>26</v>
      </c>
      <c r="C7" s="3" t="s">
        <v>27</v>
      </c>
      <c r="D7" s="3">
        <v>200</v>
      </c>
      <c r="E7" s="3">
        <v>45</v>
      </c>
      <c r="F7" s="3" t="s">
        <v>9</v>
      </c>
    </row>
    <row r="8" spans="1:6" x14ac:dyDescent="0.2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</row>
    <row r="9" spans="1:6" x14ac:dyDescent="0.2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</row>
    <row r="10" spans="1:6" x14ac:dyDescent="0.2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</row>
    <row r="11" spans="1:6" x14ac:dyDescent="0.2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24</v>
      </c>
    </row>
    <row r="12" spans="1:6" x14ac:dyDescent="0.2">
      <c r="A12" s="2" t="s">
        <v>40</v>
      </c>
      <c r="B12" s="2" t="s">
        <v>7</v>
      </c>
      <c r="C12" s="2" t="s">
        <v>41</v>
      </c>
      <c r="D12" s="2">
        <v>950</v>
      </c>
      <c r="E12" s="2">
        <v>25</v>
      </c>
      <c r="F12" s="2" t="s">
        <v>9</v>
      </c>
    </row>
    <row r="13" spans="1:6" x14ac:dyDescent="0.2">
      <c r="A13" s="3" t="s">
        <v>42</v>
      </c>
      <c r="B13" s="3" t="s">
        <v>11</v>
      </c>
      <c r="C13" s="3" t="s">
        <v>30</v>
      </c>
      <c r="D13" s="3">
        <v>90</v>
      </c>
      <c r="E13" s="3">
        <v>40</v>
      </c>
      <c r="F13" s="3" t="s">
        <v>13</v>
      </c>
    </row>
    <row r="14" spans="1:6" x14ac:dyDescent="0.2">
      <c r="A14" s="2" t="s">
        <v>43</v>
      </c>
      <c r="B14" s="2" t="s">
        <v>15</v>
      </c>
      <c r="C14" s="2" t="s">
        <v>44</v>
      </c>
      <c r="D14" s="2">
        <v>120</v>
      </c>
      <c r="E14" s="2">
        <v>35</v>
      </c>
      <c r="F14" s="2" t="s">
        <v>17</v>
      </c>
    </row>
    <row r="15" spans="1:6" x14ac:dyDescent="0.2">
      <c r="A15" s="3" t="s">
        <v>45</v>
      </c>
      <c r="B15" s="3" t="s">
        <v>46</v>
      </c>
      <c r="C15" s="3" t="s">
        <v>47</v>
      </c>
      <c r="D15" s="3">
        <v>150</v>
      </c>
      <c r="E15" s="3">
        <v>15</v>
      </c>
      <c r="F15" s="3" t="s">
        <v>9</v>
      </c>
    </row>
    <row r="16" spans="1:6" x14ac:dyDescent="0.2">
      <c r="A16" s="2" t="s">
        <v>48</v>
      </c>
      <c r="B16" s="2" t="s">
        <v>26</v>
      </c>
      <c r="C16" s="2" t="s">
        <v>49</v>
      </c>
      <c r="D16" s="2">
        <v>250</v>
      </c>
      <c r="E16" s="2">
        <v>20</v>
      </c>
      <c r="F16" s="2" t="s">
        <v>9</v>
      </c>
    </row>
    <row r="17" spans="1:6" x14ac:dyDescent="0.2">
      <c r="A17" s="3" t="s">
        <v>50</v>
      </c>
      <c r="B17" s="3" t="s">
        <v>51</v>
      </c>
      <c r="C17" s="3" t="s">
        <v>52</v>
      </c>
      <c r="D17" s="3">
        <v>50</v>
      </c>
      <c r="E17" s="3">
        <v>35</v>
      </c>
      <c r="F17" s="3" t="s">
        <v>53</v>
      </c>
    </row>
    <row r="18" spans="1:6" x14ac:dyDescent="0.2">
      <c r="A18" s="2" t="s">
        <v>54</v>
      </c>
      <c r="B18" s="2" t="s">
        <v>46</v>
      </c>
      <c r="C18" s="2" t="s">
        <v>55</v>
      </c>
      <c r="D18" s="2">
        <v>160</v>
      </c>
      <c r="E18" s="2">
        <v>15</v>
      </c>
      <c r="F18" s="2" t="s">
        <v>9</v>
      </c>
    </row>
    <row r="19" spans="1:6" x14ac:dyDescent="0.2">
      <c r="A19" s="3" t="s">
        <v>56</v>
      </c>
      <c r="B19" s="3" t="s">
        <v>7</v>
      </c>
      <c r="C19" s="3" t="s">
        <v>57</v>
      </c>
      <c r="D19" s="3">
        <v>980</v>
      </c>
      <c r="E19" s="3">
        <v>10</v>
      </c>
      <c r="F19" s="3" t="s">
        <v>9</v>
      </c>
    </row>
    <row r="20" spans="1:6" x14ac:dyDescent="0.2">
      <c r="A20" s="2" t="s">
        <v>58</v>
      </c>
      <c r="B20" s="2" t="s">
        <v>59</v>
      </c>
      <c r="C20" s="2" t="s">
        <v>60</v>
      </c>
      <c r="D20" s="2">
        <v>150</v>
      </c>
      <c r="E20" s="2">
        <v>15</v>
      </c>
      <c r="F20" s="2" t="s">
        <v>13</v>
      </c>
    </row>
    <row r="21" spans="1:6" x14ac:dyDescent="0.2">
      <c r="A21" s="3" t="s">
        <v>61</v>
      </c>
      <c r="B21" s="3" t="s">
        <v>62</v>
      </c>
      <c r="C21" s="3" t="s">
        <v>63</v>
      </c>
      <c r="D21" s="3">
        <v>200</v>
      </c>
      <c r="E21" s="3">
        <v>10</v>
      </c>
      <c r="F21" s="3" t="s">
        <v>24</v>
      </c>
    </row>
    <row r="22" spans="1:6" x14ac:dyDescent="0.2">
      <c r="A22" s="2" t="s">
        <v>64</v>
      </c>
      <c r="B22" s="2" t="s">
        <v>65</v>
      </c>
      <c r="C22" s="2" t="s">
        <v>66</v>
      </c>
      <c r="D22" s="2">
        <v>700</v>
      </c>
      <c r="E22" s="2">
        <v>50</v>
      </c>
      <c r="F22" s="2" t="s">
        <v>9</v>
      </c>
    </row>
    <row r="23" spans="1:6" x14ac:dyDescent="0.2">
      <c r="A23" s="3" t="s">
        <v>67</v>
      </c>
      <c r="B23" s="3" t="s">
        <v>68</v>
      </c>
      <c r="C23" s="3" t="s">
        <v>69</v>
      </c>
      <c r="D23" s="3">
        <v>80</v>
      </c>
      <c r="E23" s="3">
        <v>20</v>
      </c>
      <c r="F23" s="3" t="s">
        <v>17</v>
      </c>
    </row>
    <row r="24" spans="1:6" x14ac:dyDescent="0.2">
      <c r="A24" s="2" t="s">
        <v>70</v>
      </c>
      <c r="B24" s="2" t="s">
        <v>71</v>
      </c>
      <c r="C24" s="2" t="s">
        <v>72</v>
      </c>
      <c r="D24" s="2">
        <v>150</v>
      </c>
      <c r="E24" s="2">
        <v>30</v>
      </c>
      <c r="F24" s="2" t="s">
        <v>9</v>
      </c>
    </row>
    <row r="25" spans="1:6" x14ac:dyDescent="0.2">
      <c r="A25" s="3" t="s">
        <v>50</v>
      </c>
      <c r="B25" s="3" t="s">
        <v>51</v>
      </c>
      <c r="C25" s="3" t="s">
        <v>52</v>
      </c>
      <c r="D25" s="3">
        <v>50</v>
      </c>
      <c r="E25" s="3">
        <v>35</v>
      </c>
      <c r="F25" s="3" t="s">
        <v>53</v>
      </c>
    </row>
    <row r="26" spans="1:6" x14ac:dyDescent="0.2">
      <c r="A26" s="2" t="s">
        <v>73</v>
      </c>
      <c r="B26" s="2" t="s">
        <v>19</v>
      </c>
      <c r="C26" s="2" t="s">
        <v>74</v>
      </c>
      <c r="D26" s="2">
        <v>800</v>
      </c>
      <c r="E26" s="2">
        <v>45</v>
      </c>
      <c r="F26" s="2" t="s">
        <v>9</v>
      </c>
    </row>
    <row r="27" spans="1:6" x14ac:dyDescent="0.2">
      <c r="A27" s="3" t="s">
        <v>75</v>
      </c>
      <c r="B27" s="3" t="s">
        <v>59</v>
      </c>
      <c r="C27" s="3" t="s">
        <v>76</v>
      </c>
      <c r="D27" s="3">
        <v>130</v>
      </c>
      <c r="E27" s="3">
        <v>25</v>
      </c>
      <c r="F27" s="3" t="s">
        <v>13</v>
      </c>
    </row>
    <row r="28" spans="1:6" x14ac:dyDescent="0.2">
      <c r="A28" s="2" t="s">
        <v>77</v>
      </c>
      <c r="B28" s="2" t="s">
        <v>32</v>
      </c>
      <c r="C28" s="2" t="s">
        <v>78</v>
      </c>
      <c r="D28" s="2">
        <v>400</v>
      </c>
      <c r="E28" s="2">
        <v>40</v>
      </c>
      <c r="F28" s="2" t="s">
        <v>17</v>
      </c>
    </row>
    <row r="29" spans="1:6" x14ac:dyDescent="0.2">
      <c r="A29" s="3" t="s">
        <v>48</v>
      </c>
      <c r="B29" s="3" t="s">
        <v>26</v>
      </c>
      <c r="C29" s="3" t="s">
        <v>49</v>
      </c>
      <c r="D29" s="3">
        <v>230</v>
      </c>
      <c r="E29" s="3">
        <v>20</v>
      </c>
      <c r="F29" s="3" t="s">
        <v>9</v>
      </c>
    </row>
    <row r="30" spans="1:6" x14ac:dyDescent="0.2">
      <c r="A30" s="2" t="s">
        <v>79</v>
      </c>
      <c r="B30" s="2" t="s">
        <v>80</v>
      </c>
      <c r="C30" s="2" t="s">
        <v>81</v>
      </c>
      <c r="D30" s="2">
        <v>60</v>
      </c>
      <c r="E30" s="2">
        <v>30</v>
      </c>
      <c r="F30" s="2" t="s">
        <v>13</v>
      </c>
    </row>
    <row r="31" spans="1:6" x14ac:dyDescent="0.2">
      <c r="A31" s="3" t="s">
        <v>82</v>
      </c>
      <c r="B31" s="3" t="s">
        <v>83</v>
      </c>
      <c r="C31" s="3" t="s">
        <v>84</v>
      </c>
      <c r="D31" s="3">
        <v>40</v>
      </c>
      <c r="E31" s="3">
        <v>10</v>
      </c>
      <c r="F31" s="3" t="s">
        <v>17</v>
      </c>
    </row>
    <row r="32" spans="1:6" x14ac:dyDescent="0.2">
      <c r="A32" s="2" t="s">
        <v>85</v>
      </c>
      <c r="B32" s="2" t="s">
        <v>71</v>
      </c>
      <c r="C32" s="2" t="s">
        <v>86</v>
      </c>
      <c r="D32" s="2">
        <v>130</v>
      </c>
      <c r="E32" s="2">
        <v>5</v>
      </c>
      <c r="F32" s="2" t="s">
        <v>9</v>
      </c>
    </row>
    <row r="33" spans="1:6" x14ac:dyDescent="0.2">
      <c r="A33" s="3" t="s">
        <v>87</v>
      </c>
      <c r="B33" s="3" t="s">
        <v>88</v>
      </c>
      <c r="C33" s="3" t="s">
        <v>89</v>
      </c>
      <c r="D33" s="3">
        <v>50</v>
      </c>
      <c r="E33" s="3">
        <v>50</v>
      </c>
      <c r="F33" s="3" t="s">
        <v>13</v>
      </c>
    </row>
    <row r="34" spans="1:6" x14ac:dyDescent="0.2">
      <c r="A34" s="2" t="s">
        <v>40</v>
      </c>
      <c r="B34" s="2" t="s">
        <v>7</v>
      </c>
      <c r="C34" s="2" t="s">
        <v>41</v>
      </c>
      <c r="D34" s="2">
        <v>950</v>
      </c>
      <c r="E34" s="2">
        <v>25</v>
      </c>
      <c r="F34" s="2" t="s">
        <v>9</v>
      </c>
    </row>
    <row r="35" spans="1:6" x14ac:dyDescent="0.2">
      <c r="A35" s="3" t="s">
        <v>90</v>
      </c>
      <c r="B35" s="3" t="s">
        <v>91</v>
      </c>
      <c r="C35" s="3" t="s">
        <v>92</v>
      </c>
      <c r="D35" s="3">
        <v>100</v>
      </c>
      <c r="E35" s="3">
        <v>20</v>
      </c>
      <c r="F35" s="3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000"/>
  <sheetViews>
    <sheetView tabSelected="1" topLeftCell="G1" workbookViewId="0">
      <selection activeCell="Q10" sqref="Q10"/>
    </sheetView>
  </sheetViews>
  <sheetFormatPr defaultColWidth="12.5703125" defaultRowHeight="15" customHeight="1" x14ac:dyDescent="0.2"/>
  <cols>
    <col min="2" max="2" width="14.140625" customWidth="1"/>
    <col min="7" max="7" width="35.5703125" customWidth="1"/>
    <col min="8" max="8" width="20.85546875" style="7" customWidth="1"/>
    <col min="9" max="9" width="15.42578125" customWidth="1"/>
    <col min="10" max="10" width="21.7109375" bestFit="1" customWidth="1"/>
    <col min="11" max="13" width="12.5703125" style="6"/>
    <col min="15" max="15" width="22.42578125" bestFit="1" customWidth="1"/>
    <col min="16" max="16" width="139" bestFit="1" customWidth="1"/>
    <col min="17" max="17" width="118.42578125" bestFit="1" customWidth="1"/>
  </cols>
  <sheetData>
    <row r="1" spans="1:1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3" t="s">
        <v>100</v>
      </c>
      <c r="H1" s="14" t="s">
        <v>108</v>
      </c>
      <c r="I1" s="15" t="s">
        <v>109</v>
      </c>
      <c r="J1" s="15" t="s">
        <v>113</v>
      </c>
      <c r="K1" s="16" t="s">
        <v>117</v>
      </c>
      <c r="L1" s="17" t="s">
        <v>5</v>
      </c>
      <c r="M1" s="4"/>
      <c r="N1" s="10" t="s">
        <v>124</v>
      </c>
      <c r="O1" s="10" t="s">
        <v>93</v>
      </c>
      <c r="P1" s="10" t="s">
        <v>95</v>
      </c>
      <c r="Q1" s="10" t="s">
        <v>98</v>
      </c>
    </row>
    <row r="2" spans="1:17" ht="15.75" customHeight="1" x14ac:dyDescent="0.2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  <c r="G2" s="18" t="str">
        <f>PROPER(B2)</f>
        <v>Laptop</v>
      </c>
      <c r="H2" s="19" t="str">
        <f>LEFT(A2,6)</f>
        <v>28-JAN</v>
      </c>
      <c r="I2" s="11" t="str">
        <f>RIGHT(A2,2)</f>
        <v>US</v>
      </c>
      <c r="J2" s="11" t="str">
        <f>C2 &amp; " " &amp; B2</f>
        <v>Dell Laptop</v>
      </c>
      <c r="K2" s="20">
        <v>1000</v>
      </c>
      <c r="L2" s="21" t="s">
        <v>9</v>
      </c>
      <c r="M2" s="9"/>
      <c r="N2" s="11">
        <v>1</v>
      </c>
      <c r="O2" s="12" t="s">
        <v>94</v>
      </c>
      <c r="P2" s="12" t="s">
        <v>96</v>
      </c>
      <c r="Q2" s="12" t="s">
        <v>97</v>
      </c>
    </row>
    <row r="3" spans="1:17" ht="15.75" customHeight="1" x14ac:dyDescent="0.2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G3" s="18" t="str">
        <f>PROPER(B3)</f>
        <v>Sneakers</v>
      </c>
      <c r="H3" s="22" t="str">
        <f t="shared" ref="H3:H33" si="0">LEFT(A3,6)</f>
        <v>15-FEB</v>
      </c>
      <c r="I3" s="11" t="str">
        <f t="shared" ref="I3:I33" si="1">RIGHT(A3,2)</f>
        <v>US</v>
      </c>
      <c r="J3" s="11" t="str">
        <f t="shared" ref="J3:J33" si="2">C3 &amp; " " &amp; B3</f>
        <v>Nike Sneakers</v>
      </c>
      <c r="K3" s="20">
        <v>80</v>
      </c>
      <c r="L3" s="23" t="s">
        <v>13</v>
      </c>
      <c r="M3" s="5"/>
      <c r="N3" s="11">
        <v>2</v>
      </c>
      <c r="O3" s="12" t="s">
        <v>99</v>
      </c>
      <c r="P3" s="12" t="s">
        <v>101</v>
      </c>
      <c r="Q3" s="12" t="s">
        <v>102</v>
      </c>
    </row>
    <row r="4" spans="1:17" ht="15.75" customHeight="1" x14ac:dyDescent="0.2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G4" s="18" t="str">
        <f>PROPER(B4)</f>
        <v>Coffee Maker</v>
      </c>
      <c r="H4" s="22" t="str">
        <f t="shared" si="0"/>
        <v>03-MAR</v>
      </c>
      <c r="I4" s="11" t="str">
        <f t="shared" si="1"/>
        <v>US</v>
      </c>
      <c r="J4" s="11" t="str">
        <f t="shared" si="2"/>
        <v>Keurig Coffee Maker</v>
      </c>
      <c r="K4" s="20">
        <v>130</v>
      </c>
      <c r="L4" s="23" t="s">
        <v>17</v>
      </c>
      <c r="M4" s="5"/>
      <c r="N4" s="11"/>
      <c r="O4" s="11"/>
      <c r="P4" s="12" t="s">
        <v>103</v>
      </c>
      <c r="Q4" s="12" t="s">
        <v>104</v>
      </c>
    </row>
    <row r="5" spans="1:17" ht="15.75" customHeight="1" x14ac:dyDescent="0.2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G5" s="18" t="str">
        <f>PROPER(B5)</f>
        <v>Smartphone</v>
      </c>
      <c r="H5" s="22" t="str">
        <f t="shared" si="0"/>
        <v>11-APR</v>
      </c>
      <c r="I5" s="11" t="str">
        <f t="shared" si="1"/>
        <v>US</v>
      </c>
      <c r="J5" s="11" t="str">
        <f t="shared" si="2"/>
        <v>Samsung Smartphone</v>
      </c>
      <c r="K5" s="20">
        <v>900</v>
      </c>
      <c r="L5" s="23" t="s">
        <v>9</v>
      </c>
      <c r="M5" s="5"/>
      <c r="N5" s="11">
        <v>3</v>
      </c>
      <c r="O5" s="12" t="s">
        <v>105</v>
      </c>
      <c r="P5" s="12" t="s">
        <v>106</v>
      </c>
      <c r="Q5" s="12" t="s">
        <v>107</v>
      </c>
    </row>
    <row r="6" spans="1:17" ht="15.75" customHeight="1" x14ac:dyDescent="0.2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 t="s">
        <v>24</v>
      </c>
      <c r="G6" s="18" t="str">
        <f>PROPER(B6)</f>
        <v>Backpack</v>
      </c>
      <c r="H6" s="22" t="str">
        <f t="shared" si="0"/>
        <v>22-MAY</v>
      </c>
      <c r="I6" s="11" t="str">
        <f t="shared" si="1"/>
        <v>US</v>
      </c>
      <c r="J6" s="11" t="str">
        <f t="shared" si="2"/>
        <v>North Face Backpack</v>
      </c>
      <c r="K6" s="20">
        <v>70</v>
      </c>
      <c r="L6" s="23" t="s">
        <v>24</v>
      </c>
      <c r="M6" s="5"/>
      <c r="N6" s="11">
        <v>4</v>
      </c>
      <c r="O6" s="12" t="s">
        <v>110</v>
      </c>
      <c r="P6" s="12" t="s">
        <v>112</v>
      </c>
      <c r="Q6" s="11" t="s">
        <v>111</v>
      </c>
    </row>
    <row r="7" spans="1:17" ht="15.75" customHeight="1" x14ac:dyDescent="0.2">
      <c r="A7" s="3" t="s">
        <v>25</v>
      </c>
      <c r="B7" s="3" t="s">
        <v>26</v>
      </c>
      <c r="C7" s="3" t="s">
        <v>27</v>
      </c>
      <c r="D7" s="3">
        <v>200</v>
      </c>
      <c r="E7" s="3">
        <v>45</v>
      </c>
      <c r="F7" s="3" t="s">
        <v>9</v>
      </c>
      <c r="G7" s="18" t="str">
        <f>PROPER(B7)</f>
        <v>Headphones</v>
      </c>
      <c r="H7" s="22" t="str">
        <f t="shared" si="0"/>
        <v>07-JUN</v>
      </c>
      <c r="I7" s="11" t="str">
        <f t="shared" si="1"/>
        <v>UK</v>
      </c>
      <c r="J7" s="11" t="str">
        <f t="shared" si="2"/>
        <v>Sony Headphones</v>
      </c>
      <c r="K7" s="20">
        <v>200</v>
      </c>
      <c r="L7" s="23" t="s">
        <v>9</v>
      </c>
      <c r="M7" s="5"/>
      <c r="N7" s="11"/>
      <c r="O7" s="11"/>
      <c r="P7" s="12" t="s">
        <v>114</v>
      </c>
      <c r="Q7" s="12" t="s">
        <v>115</v>
      </c>
    </row>
    <row r="8" spans="1:17" ht="15.75" customHeight="1" x14ac:dyDescent="0.2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  <c r="G8" s="18" t="str">
        <f>PROPER(B8)</f>
        <v>T-Shirt</v>
      </c>
      <c r="H8" s="22" t="str">
        <f t="shared" si="0"/>
        <v>19-JUL</v>
      </c>
      <c r="I8" s="11" t="str">
        <f t="shared" si="1"/>
        <v>UK</v>
      </c>
      <c r="J8" s="11" t="str">
        <f t="shared" si="2"/>
        <v>Adidas T-shirt</v>
      </c>
      <c r="K8" s="20">
        <v>30</v>
      </c>
      <c r="L8" s="23" t="s">
        <v>13</v>
      </c>
      <c r="M8" s="5"/>
      <c r="N8" s="11">
        <v>5</v>
      </c>
      <c r="O8" s="12" t="s">
        <v>116</v>
      </c>
      <c r="P8" s="12" t="s">
        <v>125</v>
      </c>
      <c r="Q8" s="12" t="s">
        <v>118</v>
      </c>
    </row>
    <row r="9" spans="1:17" ht="15.75" customHeight="1" x14ac:dyDescent="0.2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  <c r="G9" s="18" t="str">
        <f>PROPER(B9)</f>
        <v>Blender</v>
      </c>
      <c r="H9" s="22" t="str">
        <f t="shared" si="0"/>
        <v>23-AUG</v>
      </c>
      <c r="I9" s="11" t="str">
        <f t="shared" si="1"/>
        <v>UK</v>
      </c>
      <c r="J9" s="11" t="str">
        <f t="shared" si="2"/>
        <v>Ninja Blender</v>
      </c>
      <c r="K9" s="20">
        <v>90</v>
      </c>
      <c r="L9" s="23" t="s">
        <v>17</v>
      </c>
      <c r="M9" s="5"/>
      <c r="N9" s="11">
        <v>6</v>
      </c>
      <c r="O9" s="12" t="s">
        <v>119</v>
      </c>
      <c r="P9" s="12" t="s">
        <v>121</v>
      </c>
      <c r="Q9" s="12" t="s">
        <v>120</v>
      </c>
    </row>
    <row r="10" spans="1:17" ht="15.75" customHeight="1" x14ac:dyDescent="0.2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  <c r="G10" s="18" t="str">
        <f>PROPER(B10)</f>
        <v>Tablet</v>
      </c>
      <c r="H10" s="22" t="str">
        <f t="shared" si="0"/>
        <v>05-SEP</v>
      </c>
      <c r="I10" s="11" t="str">
        <f t="shared" si="1"/>
        <v>UK</v>
      </c>
      <c r="J10" s="11" t="str">
        <f t="shared" si="2"/>
        <v>Apple Tablet</v>
      </c>
      <c r="K10" s="20">
        <v>500</v>
      </c>
      <c r="L10" s="23" t="s">
        <v>9</v>
      </c>
      <c r="M10" s="5"/>
      <c r="N10" s="11"/>
      <c r="O10" s="11"/>
      <c r="P10" s="12" t="s">
        <v>122</v>
      </c>
      <c r="Q10" s="12" t="s">
        <v>123</v>
      </c>
    </row>
    <row r="11" spans="1:17" ht="15.75" customHeight="1" x14ac:dyDescent="0.2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24</v>
      </c>
      <c r="G11" s="18" t="str">
        <f>PROPER(B11)</f>
        <v>Hiking Boots</v>
      </c>
      <c r="H11" s="22" t="str">
        <f t="shared" si="0"/>
        <v>14-OCT</v>
      </c>
      <c r="I11" s="11" t="str">
        <f t="shared" si="1"/>
        <v>UK</v>
      </c>
      <c r="J11" s="11" t="str">
        <f t="shared" si="2"/>
        <v>Timberland Hiking Boots</v>
      </c>
      <c r="K11" s="20">
        <v>130</v>
      </c>
      <c r="L11" s="23" t="s">
        <v>24</v>
      </c>
      <c r="M11" s="5"/>
    </row>
    <row r="12" spans="1:17" ht="15.75" customHeight="1" x14ac:dyDescent="0.2">
      <c r="A12" s="2" t="s">
        <v>40</v>
      </c>
      <c r="B12" s="2" t="s">
        <v>7</v>
      </c>
      <c r="C12" s="2" t="s">
        <v>41</v>
      </c>
      <c r="D12" s="2">
        <v>950</v>
      </c>
      <c r="E12" s="2">
        <v>25</v>
      </c>
      <c r="F12" s="2" t="s">
        <v>9</v>
      </c>
      <c r="G12" s="18" t="str">
        <f>PROPER(B12)</f>
        <v>Laptop</v>
      </c>
      <c r="H12" s="22" t="str">
        <f t="shared" si="0"/>
        <v>17-JUN</v>
      </c>
      <c r="I12" s="11" t="str">
        <f t="shared" si="1"/>
        <v>IN</v>
      </c>
      <c r="J12" s="11" t="str">
        <f t="shared" si="2"/>
        <v>HP Laptop</v>
      </c>
      <c r="K12" s="20">
        <v>950</v>
      </c>
      <c r="L12" s="23" t="s">
        <v>9</v>
      </c>
      <c r="M12" s="5"/>
    </row>
    <row r="13" spans="1:17" ht="15.75" customHeight="1" x14ac:dyDescent="0.2">
      <c r="A13" s="3" t="s">
        <v>42</v>
      </c>
      <c r="B13" s="3" t="s">
        <v>11</v>
      </c>
      <c r="C13" s="3" t="s">
        <v>30</v>
      </c>
      <c r="D13" s="3">
        <v>90</v>
      </c>
      <c r="E13" s="3">
        <v>40</v>
      </c>
      <c r="F13" s="3" t="s">
        <v>13</v>
      </c>
      <c r="G13" s="18" t="str">
        <f>PROPER(B13)</f>
        <v>Sneakers</v>
      </c>
      <c r="H13" s="22" t="str">
        <f t="shared" si="0"/>
        <v>25-NOV</v>
      </c>
      <c r="I13" s="11" t="str">
        <f t="shared" si="1"/>
        <v>AU</v>
      </c>
      <c r="J13" s="11" t="str">
        <f t="shared" si="2"/>
        <v>Adidas Sneakers</v>
      </c>
      <c r="K13" s="20">
        <v>90</v>
      </c>
      <c r="L13" s="23" t="s">
        <v>13</v>
      </c>
      <c r="M13" s="5"/>
    </row>
    <row r="14" spans="1:17" ht="15.75" customHeight="1" x14ac:dyDescent="0.2">
      <c r="A14" s="2" t="s">
        <v>43</v>
      </c>
      <c r="B14" s="2" t="s">
        <v>15</v>
      </c>
      <c r="C14" s="2" t="s">
        <v>44</v>
      </c>
      <c r="D14" s="2">
        <v>120</v>
      </c>
      <c r="E14" s="2">
        <v>35</v>
      </c>
      <c r="F14" s="2" t="s">
        <v>17</v>
      </c>
      <c r="G14" s="18" t="str">
        <f>PROPER(B14)</f>
        <v>Coffee Maker</v>
      </c>
      <c r="H14" s="22" t="str">
        <f t="shared" si="0"/>
        <v>08-DEC</v>
      </c>
      <c r="I14" s="11" t="str">
        <f t="shared" si="1"/>
        <v>DE</v>
      </c>
      <c r="J14" s="11" t="str">
        <f t="shared" si="2"/>
        <v>Nespresso Coffee Maker</v>
      </c>
      <c r="K14" s="20">
        <v>120</v>
      </c>
      <c r="L14" s="23" t="s">
        <v>17</v>
      </c>
      <c r="M14" s="5"/>
      <c r="N14" s="2"/>
    </row>
    <row r="15" spans="1:17" ht="15.75" customHeight="1" x14ac:dyDescent="0.2">
      <c r="A15" s="3" t="s">
        <v>45</v>
      </c>
      <c r="B15" s="3" t="s">
        <v>46</v>
      </c>
      <c r="C15" s="3" t="s">
        <v>47</v>
      </c>
      <c r="D15" s="3">
        <v>150</v>
      </c>
      <c r="E15" s="3">
        <v>15</v>
      </c>
      <c r="F15" s="3" t="s">
        <v>9</v>
      </c>
      <c r="G15" s="18" t="str">
        <f>PROPER(B15)</f>
        <v>Smartwatch</v>
      </c>
      <c r="H15" s="22" t="str">
        <f t="shared" si="0"/>
        <v>18-FEB</v>
      </c>
      <c r="I15" s="11" t="str">
        <f t="shared" si="1"/>
        <v>CA</v>
      </c>
      <c r="J15" s="11" t="str">
        <f t="shared" si="2"/>
        <v>Fitbit Smartwatch</v>
      </c>
      <c r="K15" s="20">
        <v>150</v>
      </c>
      <c r="L15" s="23" t="s">
        <v>9</v>
      </c>
      <c r="M15" s="5"/>
    </row>
    <row r="16" spans="1:17" ht="15.75" customHeight="1" x14ac:dyDescent="0.2">
      <c r="A16" s="2" t="s">
        <v>48</v>
      </c>
      <c r="B16" s="2" t="s">
        <v>26</v>
      </c>
      <c r="C16" s="2" t="s">
        <v>49</v>
      </c>
      <c r="D16" s="2">
        <v>250</v>
      </c>
      <c r="E16" s="2">
        <v>20</v>
      </c>
      <c r="F16" s="2" t="s">
        <v>9</v>
      </c>
      <c r="G16" s="18" t="str">
        <f>PROPER(B16)</f>
        <v>Headphones</v>
      </c>
      <c r="H16" s="22" t="str">
        <f t="shared" si="0"/>
        <v>16-APR</v>
      </c>
      <c r="I16" s="11" t="str">
        <f t="shared" si="1"/>
        <v>ES</v>
      </c>
      <c r="J16" s="11" t="str">
        <f t="shared" si="2"/>
        <v>Bose Headphones</v>
      </c>
      <c r="K16" s="20">
        <v>250</v>
      </c>
      <c r="L16" s="23" t="s">
        <v>9</v>
      </c>
      <c r="M16" s="5"/>
    </row>
    <row r="17" spans="1:13" ht="15.75" customHeight="1" x14ac:dyDescent="0.2">
      <c r="A17" s="3" t="s">
        <v>50</v>
      </c>
      <c r="B17" s="3" t="s">
        <v>51</v>
      </c>
      <c r="C17" s="3" t="s">
        <v>52</v>
      </c>
      <c r="D17" s="3">
        <v>50</v>
      </c>
      <c r="E17" s="3">
        <v>35</v>
      </c>
      <c r="F17" s="3" t="s">
        <v>53</v>
      </c>
      <c r="G17" s="18" t="str">
        <f>PROPER(B17)</f>
        <v>Laptop Bag</v>
      </c>
      <c r="H17" s="22" t="str">
        <f t="shared" si="0"/>
        <v>21-AUG</v>
      </c>
      <c r="I17" s="11" t="str">
        <f t="shared" si="1"/>
        <v>CA</v>
      </c>
      <c r="J17" s="11" t="str">
        <f t="shared" si="2"/>
        <v>Samsonite Laptop Bag</v>
      </c>
      <c r="K17" s="20">
        <v>50</v>
      </c>
      <c r="L17" s="23" t="s">
        <v>53</v>
      </c>
      <c r="M17" s="5"/>
    </row>
    <row r="18" spans="1:13" ht="15.75" customHeight="1" x14ac:dyDescent="0.2">
      <c r="A18" s="2" t="s">
        <v>54</v>
      </c>
      <c r="B18" s="2" t="s">
        <v>46</v>
      </c>
      <c r="C18" s="2" t="s">
        <v>55</v>
      </c>
      <c r="D18" s="2">
        <v>160</v>
      </c>
      <c r="E18" s="2">
        <v>15</v>
      </c>
      <c r="F18" s="2" t="s">
        <v>9</v>
      </c>
      <c r="G18" s="18" t="str">
        <f>PROPER(B18)</f>
        <v>Smartwatch</v>
      </c>
      <c r="H18" s="22" t="str">
        <f t="shared" si="0"/>
        <v>20-AUG</v>
      </c>
      <c r="I18" s="11" t="str">
        <f t="shared" si="1"/>
        <v>CN</v>
      </c>
      <c r="J18" s="11" t="str">
        <f t="shared" si="2"/>
        <v>Huawei Smartwatch</v>
      </c>
      <c r="K18" s="20">
        <v>160</v>
      </c>
      <c r="L18" s="23" t="s">
        <v>9</v>
      </c>
      <c r="M18" s="5"/>
    </row>
    <row r="19" spans="1:13" ht="15.75" customHeight="1" x14ac:dyDescent="0.2">
      <c r="A19" s="3" t="s">
        <v>56</v>
      </c>
      <c r="B19" s="3" t="s">
        <v>7</v>
      </c>
      <c r="C19" s="3" t="s">
        <v>57</v>
      </c>
      <c r="D19" s="3">
        <v>980</v>
      </c>
      <c r="E19" s="3">
        <v>10</v>
      </c>
      <c r="F19" s="3" t="s">
        <v>9</v>
      </c>
      <c r="G19" s="18" t="str">
        <f>PROPER(B19)</f>
        <v>Laptop</v>
      </c>
      <c r="H19" s="22" t="str">
        <f t="shared" si="0"/>
        <v>27-JAN</v>
      </c>
      <c r="I19" s="11" t="str">
        <f t="shared" si="1"/>
        <v>IT</v>
      </c>
      <c r="J19" s="11" t="str">
        <f t="shared" si="2"/>
        <v>Asus Laptop</v>
      </c>
      <c r="K19" s="20">
        <v>980</v>
      </c>
      <c r="L19" s="23" t="s">
        <v>9</v>
      </c>
      <c r="M19" s="5"/>
    </row>
    <row r="20" spans="1:13" ht="15.75" customHeight="1" x14ac:dyDescent="0.2">
      <c r="A20" s="2" t="s">
        <v>58</v>
      </c>
      <c r="B20" s="2" t="s">
        <v>59</v>
      </c>
      <c r="C20" s="2" t="s">
        <v>60</v>
      </c>
      <c r="D20" s="2">
        <v>150</v>
      </c>
      <c r="E20" s="2">
        <v>15</v>
      </c>
      <c r="F20" s="2" t="s">
        <v>13</v>
      </c>
      <c r="G20" s="18" t="str">
        <f>PROPER(B20)</f>
        <v>Sunglasses</v>
      </c>
      <c r="H20" s="22" t="str">
        <f t="shared" si="0"/>
        <v>01-MAR</v>
      </c>
      <c r="I20" s="11" t="str">
        <f t="shared" si="1"/>
        <v>UK</v>
      </c>
      <c r="J20" s="11" t="str">
        <f t="shared" si="2"/>
        <v>Oakley Sunglasses</v>
      </c>
      <c r="K20" s="20">
        <v>150</v>
      </c>
      <c r="L20" s="23" t="s">
        <v>13</v>
      </c>
      <c r="M20" s="5"/>
    </row>
    <row r="21" spans="1:13" ht="15.75" customHeight="1" x14ac:dyDescent="0.2">
      <c r="A21" s="3" t="s">
        <v>61</v>
      </c>
      <c r="B21" s="3" t="s">
        <v>62</v>
      </c>
      <c r="C21" s="3" t="s">
        <v>63</v>
      </c>
      <c r="D21" s="3">
        <v>200</v>
      </c>
      <c r="E21" s="3">
        <v>10</v>
      </c>
      <c r="F21" s="3" t="s">
        <v>24</v>
      </c>
      <c r="G21" s="18" t="str">
        <f>PROPER(B21)</f>
        <v>Camping Tent</v>
      </c>
      <c r="H21" s="22" t="str">
        <f t="shared" si="0"/>
        <v>14-AUG</v>
      </c>
      <c r="I21" s="11" t="str">
        <f t="shared" si="1"/>
        <v>US</v>
      </c>
      <c r="J21" s="11" t="str">
        <f t="shared" si="2"/>
        <v>Coleman Camping Tent</v>
      </c>
      <c r="K21" s="20">
        <v>200</v>
      </c>
      <c r="L21" s="23" t="s">
        <v>24</v>
      </c>
      <c r="M21" s="5"/>
    </row>
    <row r="22" spans="1:13" ht="15.75" customHeight="1" x14ac:dyDescent="0.2">
      <c r="A22" s="2" t="s">
        <v>64</v>
      </c>
      <c r="B22" s="2" t="s">
        <v>65</v>
      </c>
      <c r="C22" s="2" t="s">
        <v>66</v>
      </c>
      <c r="D22" s="2">
        <v>700</v>
      </c>
      <c r="E22" s="2">
        <v>50</v>
      </c>
      <c r="F22" s="2" t="s">
        <v>9</v>
      </c>
      <c r="G22" s="18" t="str">
        <f>PROPER(B22)</f>
        <v>Camera</v>
      </c>
      <c r="H22" s="22" t="str">
        <f t="shared" si="0"/>
        <v>14-MAY</v>
      </c>
      <c r="I22" s="11" t="str">
        <f t="shared" si="1"/>
        <v>RU</v>
      </c>
      <c r="J22" s="11" t="str">
        <f t="shared" si="2"/>
        <v>Nikon Camera</v>
      </c>
      <c r="K22" s="20">
        <v>700</v>
      </c>
      <c r="L22" s="23" t="s">
        <v>9</v>
      </c>
      <c r="M22" s="5"/>
    </row>
    <row r="23" spans="1:13" ht="15.75" customHeight="1" x14ac:dyDescent="0.2">
      <c r="A23" s="3" t="s">
        <v>67</v>
      </c>
      <c r="B23" s="3" t="s">
        <v>68</v>
      </c>
      <c r="C23" s="3" t="s">
        <v>69</v>
      </c>
      <c r="D23" s="3">
        <v>80</v>
      </c>
      <c r="E23" s="3">
        <v>20</v>
      </c>
      <c r="F23" s="3" t="s">
        <v>17</v>
      </c>
      <c r="G23" s="18" t="str">
        <f>PROPER(B23)</f>
        <v>Microwave</v>
      </c>
      <c r="H23" s="22" t="str">
        <f t="shared" si="0"/>
        <v>09-JAN</v>
      </c>
      <c r="I23" s="11" t="str">
        <f t="shared" si="1"/>
        <v>CA</v>
      </c>
      <c r="J23" s="11" t="str">
        <f t="shared" si="2"/>
        <v>Panasonic Microwave</v>
      </c>
      <c r="K23" s="20">
        <v>80</v>
      </c>
      <c r="L23" s="23" t="s">
        <v>17</v>
      </c>
      <c r="M23" s="5"/>
    </row>
    <row r="24" spans="1:13" ht="15.75" customHeight="1" x14ac:dyDescent="0.2">
      <c r="A24" s="2" t="s">
        <v>70</v>
      </c>
      <c r="B24" s="2" t="s">
        <v>71</v>
      </c>
      <c r="C24" s="2" t="s">
        <v>72</v>
      </c>
      <c r="D24" s="2">
        <v>150</v>
      </c>
      <c r="E24" s="2">
        <v>30</v>
      </c>
      <c r="F24" s="2" t="s">
        <v>9</v>
      </c>
      <c r="G24" s="18" t="str">
        <f>PROPER(B24)</f>
        <v>Fitness Tracker</v>
      </c>
      <c r="H24" s="22" t="str">
        <f t="shared" si="0"/>
        <v>19-JUL</v>
      </c>
      <c r="I24" s="11" t="str">
        <f t="shared" si="1"/>
        <v>BR</v>
      </c>
      <c r="J24" s="11" t="str">
        <f t="shared" si="2"/>
        <v>Xiaomi Fitness Tracker</v>
      </c>
      <c r="K24" s="20">
        <v>150</v>
      </c>
      <c r="L24" s="23" t="s">
        <v>9</v>
      </c>
      <c r="M24" s="5"/>
    </row>
    <row r="25" spans="1:13" ht="15.75" customHeight="1" x14ac:dyDescent="0.2">
      <c r="A25" s="2" t="s">
        <v>73</v>
      </c>
      <c r="B25" s="2" t="s">
        <v>19</v>
      </c>
      <c r="C25" s="2" t="s">
        <v>74</v>
      </c>
      <c r="D25" s="2">
        <v>800</v>
      </c>
      <c r="E25" s="2">
        <v>45</v>
      </c>
      <c r="F25" s="2" t="s">
        <v>9</v>
      </c>
      <c r="G25" s="18" t="str">
        <f>PROPER(B25)</f>
        <v>Smartphone</v>
      </c>
      <c r="H25" s="22" t="str">
        <f t="shared" si="0"/>
        <v>29-SEP</v>
      </c>
      <c r="I25" s="11" t="str">
        <f t="shared" si="1"/>
        <v>CA</v>
      </c>
      <c r="J25" s="11" t="str">
        <f t="shared" si="2"/>
        <v>Google Smartphone</v>
      </c>
      <c r="K25" s="20">
        <v>800</v>
      </c>
      <c r="L25" s="23" t="s">
        <v>9</v>
      </c>
      <c r="M25" s="5"/>
    </row>
    <row r="26" spans="1:13" ht="15.75" customHeight="1" x14ac:dyDescent="0.2">
      <c r="A26" s="3" t="s">
        <v>75</v>
      </c>
      <c r="B26" s="3" t="s">
        <v>59</v>
      </c>
      <c r="C26" s="3" t="s">
        <v>76</v>
      </c>
      <c r="D26" s="3">
        <v>130</v>
      </c>
      <c r="E26" s="3">
        <v>25</v>
      </c>
      <c r="F26" s="3" t="s">
        <v>13</v>
      </c>
      <c r="G26" s="18" t="str">
        <f>PROPER(B26)</f>
        <v>Sunglasses</v>
      </c>
      <c r="H26" s="22" t="str">
        <f t="shared" si="0"/>
        <v>03-JUN</v>
      </c>
      <c r="I26" s="11" t="str">
        <f t="shared" si="1"/>
        <v>CA</v>
      </c>
      <c r="J26" s="11" t="str">
        <f t="shared" si="2"/>
        <v>Ray-Ban Sunglasses</v>
      </c>
      <c r="K26" s="20">
        <v>130</v>
      </c>
      <c r="L26" s="23" t="s">
        <v>13</v>
      </c>
      <c r="M26" s="5"/>
    </row>
    <row r="27" spans="1:13" ht="15.75" customHeight="1" x14ac:dyDescent="0.2">
      <c r="A27" s="2" t="s">
        <v>77</v>
      </c>
      <c r="B27" s="2" t="s">
        <v>32</v>
      </c>
      <c r="C27" s="2" t="s">
        <v>78</v>
      </c>
      <c r="D27" s="2">
        <v>400</v>
      </c>
      <c r="E27" s="2">
        <v>40</v>
      </c>
      <c r="F27" s="2" t="s">
        <v>17</v>
      </c>
      <c r="G27" s="18" t="str">
        <f>PROPER(B27)</f>
        <v>Blender</v>
      </c>
      <c r="H27" s="22" t="str">
        <f t="shared" si="0"/>
        <v>11-JUL</v>
      </c>
      <c r="I27" s="11" t="str">
        <f t="shared" si="1"/>
        <v>CA</v>
      </c>
      <c r="J27" s="11" t="str">
        <f t="shared" si="2"/>
        <v>Vitamix Blender</v>
      </c>
      <c r="K27" s="20">
        <v>400</v>
      </c>
      <c r="L27" s="23" t="s">
        <v>17</v>
      </c>
      <c r="M27" s="5"/>
    </row>
    <row r="28" spans="1:13" ht="15.75" customHeight="1" x14ac:dyDescent="0.2">
      <c r="A28" s="3" t="s">
        <v>48</v>
      </c>
      <c r="B28" s="3" t="s">
        <v>26</v>
      </c>
      <c r="C28" s="3" t="s">
        <v>49</v>
      </c>
      <c r="D28" s="3">
        <v>230</v>
      </c>
      <c r="E28" s="3">
        <v>20</v>
      </c>
      <c r="F28" s="3" t="s">
        <v>9</v>
      </c>
      <c r="G28" s="18" t="str">
        <f>PROPER(B28)</f>
        <v>Headphones</v>
      </c>
      <c r="H28" s="22" t="str">
        <f t="shared" si="0"/>
        <v>16-APR</v>
      </c>
      <c r="I28" s="11" t="str">
        <f t="shared" si="1"/>
        <v>ES</v>
      </c>
      <c r="J28" s="11" t="str">
        <f t="shared" si="2"/>
        <v>Bose Headphones</v>
      </c>
      <c r="K28" s="20">
        <v>230</v>
      </c>
      <c r="L28" s="23" t="s">
        <v>9</v>
      </c>
      <c r="M28" s="5"/>
    </row>
    <row r="29" spans="1:13" ht="15.75" customHeight="1" x14ac:dyDescent="0.2">
      <c r="A29" s="2" t="s">
        <v>79</v>
      </c>
      <c r="B29" s="2" t="s">
        <v>80</v>
      </c>
      <c r="C29" s="2" t="s">
        <v>81</v>
      </c>
      <c r="D29" s="2">
        <v>60</v>
      </c>
      <c r="E29" s="2">
        <v>30</v>
      </c>
      <c r="F29" s="2" t="s">
        <v>13</v>
      </c>
      <c r="G29" s="18" t="str">
        <f>PROPER(B29)</f>
        <v>Dress</v>
      </c>
      <c r="H29" s="22" t="str">
        <f t="shared" si="0"/>
        <v>07-MAR</v>
      </c>
      <c r="I29" s="11" t="str">
        <f t="shared" si="1"/>
        <v>CA</v>
      </c>
      <c r="J29" s="11" t="str">
        <f t="shared" si="2"/>
        <v>Zara Dress</v>
      </c>
      <c r="K29" s="20">
        <v>60</v>
      </c>
      <c r="L29" s="23" t="s">
        <v>13</v>
      </c>
      <c r="M29" s="5"/>
    </row>
    <row r="30" spans="1:13" ht="15.75" customHeight="1" x14ac:dyDescent="0.2">
      <c r="A30" s="3" t="s">
        <v>82</v>
      </c>
      <c r="B30" s="3" t="s">
        <v>83</v>
      </c>
      <c r="C30" s="3" t="s">
        <v>84</v>
      </c>
      <c r="D30" s="3">
        <v>40</v>
      </c>
      <c r="E30" s="3">
        <v>10</v>
      </c>
      <c r="F30" s="3" t="s">
        <v>17</v>
      </c>
      <c r="G30" s="18" t="str">
        <f>PROPER(B30)</f>
        <v>Toaster</v>
      </c>
      <c r="H30" s="22" t="str">
        <f t="shared" si="0"/>
        <v>13-APR</v>
      </c>
      <c r="I30" s="11" t="str">
        <f t="shared" si="1"/>
        <v>CA</v>
      </c>
      <c r="J30" s="11" t="str">
        <f t="shared" si="2"/>
        <v>Hamilton Toaster</v>
      </c>
      <c r="K30" s="20">
        <v>40</v>
      </c>
      <c r="L30" s="23" t="s">
        <v>17</v>
      </c>
      <c r="M30" s="5"/>
    </row>
    <row r="31" spans="1:13" ht="15.75" customHeight="1" x14ac:dyDescent="0.2">
      <c r="A31" s="2" t="s">
        <v>85</v>
      </c>
      <c r="B31" s="2" t="s">
        <v>71</v>
      </c>
      <c r="C31" s="2" t="s">
        <v>86</v>
      </c>
      <c r="D31" s="2">
        <v>130</v>
      </c>
      <c r="E31" s="2">
        <v>5</v>
      </c>
      <c r="F31" s="2" t="s">
        <v>9</v>
      </c>
      <c r="G31" s="18" t="str">
        <f>PROPER(B31)</f>
        <v>Fitness Tracker</v>
      </c>
      <c r="H31" s="22" t="str">
        <f t="shared" si="0"/>
        <v>24-MAY</v>
      </c>
      <c r="I31" s="11" t="str">
        <f t="shared" si="1"/>
        <v>CA</v>
      </c>
      <c r="J31" s="11" t="str">
        <f t="shared" si="2"/>
        <v>Garmin Fitness Tracker</v>
      </c>
      <c r="K31" s="20">
        <v>130</v>
      </c>
      <c r="L31" s="23" t="s">
        <v>9</v>
      </c>
      <c r="M31" s="5"/>
    </row>
    <row r="32" spans="1:13" ht="15.75" customHeight="1" x14ac:dyDescent="0.2">
      <c r="A32" s="3" t="s">
        <v>87</v>
      </c>
      <c r="B32" s="3" t="s">
        <v>88</v>
      </c>
      <c r="C32" s="3" t="s">
        <v>89</v>
      </c>
      <c r="D32" s="3">
        <v>50</v>
      </c>
      <c r="E32" s="3">
        <v>50</v>
      </c>
      <c r="F32" s="3" t="s">
        <v>13</v>
      </c>
      <c r="G32" s="18" t="str">
        <f>PROPER(B32)</f>
        <v>Jeans</v>
      </c>
      <c r="H32" s="22" t="str">
        <f t="shared" si="0"/>
        <v>02-DEC</v>
      </c>
      <c r="I32" s="11" t="str">
        <f t="shared" si="1"/>
        <v>CA</v>
      </c>
      <c r="J32" s="11" t="str">
        <f t="shared" si="2"/>
        <v>Levi's Jeans</v>
      </c>
      <c r="K32" s="20">
        <v>50</v>
      </c>
      <c r="L32" s="23" t="s">
        <v>13</v>
      </c>
      <c r="M32" s="5"/>
    </row>
    <row r="33" spans="1:13" ht="15.75" customHeight="1" x14ac:dyDescent="0.2">
      <c r="A33" s="3" t="s">
        <v>90</v>
      </c>
      <c r="B33" s="3" t="s">
        <v>91</v>
      </c>
      <c r="C33" s="3" t="s">
        <v>92</v>
      </c>
      <c r="D33" s="3">
        <v>100</v>
      </c>
      <c r="E33" s="3">
        <v>20</v>
      </c>
      <c r="F33" s="3" t="s">
        <v>53</v>
      </c>
      <c r="G33" s="24" t="str">
        <f>PROPER(B33)</f>
        <v>Watch</v>
      </c>
      <c r="H33" s="25" t="str">
        <f t="shared" si="0"/>
        <v>09-JUL</v>
      </c>
      <c r="I33" s="26" t="str">
        <f t="shared" si="1"/>
        <v>FR</v>
      </c>
      <c r="J33" s="26" t="str">
        <f t="shared" si="2"/>
        <v>Casio Watch</v>
      </c>
      <c r="K33" s="27">
        <v>100</v>
      </c>
      <c r="L33" s="28" t="s">
        <v>53</v>
      </c>
      <c r="M33" s="5"/>
    </row>
    <row r="34" spans="1:13" ht="15.75" customHeight="1" x14ac:dyDescent="0.2">
      <c r="H34" s="8"/>
      <c r="I34" s="2"/>
      <c r="J34" s="2"/>
      <c r="K34" s="5"/>
      <c r="L34" s="5"/>
      <c r="M34" s="5"/>
    </row>
    <row r="35" spans="1:13" ht="15.75" customHeight="1" x14ac:dyDescent="0.2">
      <c r="H35" s="8"/>
      <c r="I35" s="2"/>
      <c r="J35" s="2"/>
      <c r="K35" s="5"/>
      <c r="L35" s="5"/>
      <c r="M35" s="5"/>
    </row>
    <row r="36" spans="1:13" ht="15.75" customHeight="1" x14ac:dyDescent="0.2"/>
    <row r="37" spans="1:13" ht="15.75" customHeight="1" x14ac:dyDescent="0.2"/>
    <row r="38" spans="1:13" ht="15.75" customHeight="1" x14ac:dyDescent="0.2"/>
    <row r="39" spans="1:13" ht="15.75" customHeight="1" x14ac:dyDescent="0.2"/>
    <row r="40" spans="1:13" ht="15.75" customHeight="1" x14ac:dyDescent="0.2"/>
    <row r="41" spans="1:13" ht="15.75" customHeight="1" x14ac:dyDescent="0.2"/>
    <row r="42" spans="1:13" ht="15.75" customHeight="1" x14ac:dyDescent="0.2"/>
    <row r="43" spans="1:13" ht="15.75" customHeight="1" x14ac:dyDescent="0.2"/>
    <row r="44" spans="1:13" ht="15.75" customHeight="1" x14ac:dyDescent="0.2"/>
    <row r="45" spans="1:13" ht="15.75" customHeight="1" x14ac:dyDescent="0.2"/>
    <row r="46" spans="1:13" ht="15.75" customHeight="1" x14ac:dyDescent="0.2"/>
    <row r="47" spans="1:13" ht="15.75" customHeight="1" x14ac:dyDescent="0.2"/>
    <row r="48" spans="1:1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K2:K3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{0193CF21-7333-41D0-8400-D424913CD083}</x14:id>
        </ext>
      </extLst>
    </cfRule>
  </conditionalFormatting>
  <conditionalFormatting sqref="L1:L1048576">
    <cfRule type="containsText" dxfId="0" priority="1" operator="containsText" text="Electronics">
      <formula>NOT(ISERROR(SEARCH("Electronics",L1)))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193CF21-7333-41D0-8400-D424913CD0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K2:K33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Dataset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ELCOT</dc:creator>
  <cp:lastModifiedBy>S0326676</cp:lastModifiedBy>
  <dcterms:created xsi:type="dcterms:W3CDTF">2026-05-06T07:07:08Z</dcterms:created>
  <dcterms:modified xsi:type="dcterms:W3CDTF">2026-05-06T07:07:08Z</dcterms:modified>
</cp:coreProperties>
</file>